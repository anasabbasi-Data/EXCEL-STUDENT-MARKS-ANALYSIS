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e26d3d1cd70b81/"/>
    </mc:Choice>
  </mc:AlternateContent>
  <xr:revisionPtr revIDLastSave="0" documentId="8_{A6489FD5-E21F-4CF9-B88B-0885EDEF92AB}" xr6:coauthVersionLast="47" xr6:coauthVersionMax="47" xr10:uidLastSave="{00000000-0000-0000-0000-000000000000}"/>
  <bookViews>
    <workbookView xWindow="-110" yWindow="-110" windowWidth="19420" windowHeight="10300" xr2:uid="{E89EDD40-6EBB-49D2-9AF5-43D2639D9EAF}"/>
  </bookViews>
  <sheets>
    <sheet name="STUDENT ANALYSIS" sheetId="1" r:id="rId1"/>
  </sheets>
  <definedNames>
    <definedName name="_xlchart.v1.0" hidden="1">'STUDENT ANALYSIS'!$B$4:$B$12</definedName>
    <definedName name="_xlchart.v1.1" hidden="1">'STUDENT ANALYSIS'!$G$3</definedName>
    <definedName name="_xlchart.v1.2" hidden="1">'STUDENT ANALYSIS'!$G$4:$G$12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I9" i="1"/>
  <c r="I10" i="1"/>
  <c r="I11" i="1"/>
  <c r="I12" i="1"/>
  <c r="I5" i="1"/>
  <c r="I6" i="1"/>
  <c r="I7" i="1"/>
  <c r="I8" i="1"/>
  <c r="I4" i="1"/>
  <c r="J5" i="1"/>
  <c r="J6" i="1"/>
  <c r="J7" i="1"/>
  <c r="J8" i="1"/>
  <c r="J9" i="1"/>
  <c r="J10" i="1"/>
  <c r="J11" i="1"/>
  <c r="J12" i="1"/>
  <c r="J4" i="1"/>
  <c r="G5" i="1"/>
  <c r="G6" i="1"/>
  <c r="G7" i="1"/>
  <c r="G8" i="1"/>
  <c r="G9" i="1"/>
  <c r="G10" i="1"/>
  <c r="G11" i="1"/>
  <c r="G12" i="1"/>
  <c r="G4" i="1"/>
</calcChain>
</file>

<file path=xl/sharedStrings.xml><?xml version="1.0" encoding="utf-8"?>
<sst xmlns="http://schemas.openxmlformats.org/spreadsheetml/2006/main" count="30" uniqueCount="23">
  <si>
    <t>John</t>
  </si>
  <si>
    <t>Rahul</t>
  </si>
  <si>
    <t>Adam</t>
  </si>
  <si>
    <t>Karan</t>
  </si>
  <si>
    <t>Vansh</t>
  </si>
  <si>
    <t>Mohit</t>
  </si>
  <si>
    <t>David</t>
  </si>
  <si>
    <t>Jacob</t>
  </si>
  <si>
    <t>Nick</t>
  </si>
  <si>
    <t>Name</t>
  </si>
  <si>
    <t>Maths</t>
  </si>
  <si>
    <t>English</t>
  </si>
  <si>
    <t>History</t>
  </si>
  <si>
    <t>Physics</t>
  </si>
  <si>
    <t>Total Marks</t>
  </si>
  <si>
    <t xml:space="preserve">Average Marks </t>
  </si>
  <si>
    <t xml:space="preserve">Lowest Marks </t>
  </si>
  <si>
    <t>Highest Marks</t>
  </si>
  <si>
    <t xml:space="preserve">Result </t>
  </si>
  <si>
    <t>Pass</t>
  </si>
  <si>
    <t>Fail</t>
  </si>
  <si>
    <t>ID</t>
  </si>
  <si>
    <t>STUDENT MARKS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</si>
</sst>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500" b="1" i="0" u="none" strike="noStrike" cap="all" spc="100" baseline="0">
                <a:solidFill>
                  <a:sysClr val="window" lastClr="FFFFFF"/>
                </a:solidFill>
                <a:latin typeface="Calibri" panose="020F0502020204030204"/>
              </a:rPr>
              <a:t>STUDENT MARKS ANALYSIS</a:t>
            </a:r>
          </a:p>
          <a:p>
            <a:pPr algn="ctr" rtl="0">
              <a:defRPr/>
            </a:pPr>
            <a:endParaRPr lang="en-US" sz="1500" b="1" i="0" u="none" strike="noStrike" cap="all" spc="100" baseline="0">
              <a:solidFill>
                <a:sysClr val="window" lastClr="FFFFFF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6505DD21-0A19-4B86-A959-DDF5570E8CAA}">
          <cx:tx>
            <cx:txData>
              <cx:f>_xlchart.v1.1</cx:f>
              <cx:v>Total 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AF85B06-A948-4E89-9C89-3F216567005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</xdr:colOff>
      <xdr:row>13</xdr:row>
      <xdr:rowOff>20039</xdr:rowOff>
    </xdr:from>
    <xdr:to>
      <xdr:col>8</xdr:col>
      <xdr:colOff>467861</xdr:colOff>
      <xdr:row>26</xdr:row>
      <xdr:rowOff>54057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E0E8F7B-0704-8CF7-17D0-4017154D85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9452" y="2426689"/>
              <a:ext cx="6218009" cy="24279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E3BF8-A461-453A-A996-3B66E88A7302}" name="Table1" displayName="Table1" ref="A3:K12" totalsRowShown="0" headerRowDxfId="15" dataDxfId="14">
  <autoFilter ref="A3:K12" xr:uid="{67BE3BF8-A461-453A-A996-3B66E88A7302}"/>
  <tableColumns count="11">
    <tableColumn id="1" xr3:uid="{116C1E0C-7A1E-49CE-9F52-EE061524E8B6}" name="ID" dataDxfId="13"/>
    <tableColumn id="2" xr3:uid="{434C6BA7-6F85-4246-A90D-EB175E94050A}" name="Name" dataDxfId="12"/>
    <tableColumn id="3" xr3:uid="{E99BDCE4-87F8-4017-82BB-15E4AAC4AD1C}" name="Maths" dataDxfId="11"/>
    <tableColumn id="4" xr3:uid="{432F070E-E475-4392-BAE0-61D45FD7A1E2}" name="English" dataDxfId="10"/>
    <tableColumn id="5" xr3:uid="{67549F1A-466B-4C89-BFD2-A172DCF5A1E7}" name="History" dataDxfId="9"/>
    <tableColumn id="6" xr3:uid="{2B9338A9-BDE6-476B-AA19-6D2322BBB28A}" name="Physics" dataDxfId="8"/>
    <tableColumn id="7" xr3:uid="{9D131B01-CAF7-41E4-9596-A092A9C3FBA3}" name="Total Marks" dataDxfId="7">
      <calculatedColumnFormula>SUM(C4:F4)</calculatedColumnFormula>
    </tableColumn>
    <tableColumn id="8" xr3:uid="{10062AFB-46EB-47D6-ADBF-6E4831430DD7}" name="Average Marks " dataDxfId="6">
      <calculatedColumnFormula>ROUND(AVERAGE(C4:F4),0)</calculatedColumnFormula>
    </tableColumn>
    <tableColumn id="9" xr3:uid="{8B9ECF23-2D3D-4415-82A3-D367869710AC}" name="Lowest Marks " dataDxfId="5">
      <calculatedColumnFormula>MIN(C4:F4)</calculatedColumnFormula>
    </tableColumn>
    <tableColumn id="10" xr3:uid="{F3766A54-6199-444E-AE91-3127964E545B}" name="Highest Marks" dataDxfId="4">
      <calculatedColumnFormula>MAX(C4:F4)</calculatedColumnFormula>
    </tableColumn>
    <tableColumn id="11" xr3:uid="{0C90AA77-23D7-420C-AEF1-A33F3C9F3EFE}" name="Result " dataDxfId="3">
      <calculatedColumnFormula>IF(G4&gt;=200,"pass","fail")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2693-4E45-4146-A169-CE876170C600}">
  <dimension ref="A1:K12"/>
  <sheetViews>
    <sheetView tabSelected="1" zoomScale="70" workbookViewId="0">
      <selection activeCell="C16" sqref="C16"/>
    </sheetView>
  </sheetViews>
  <sheetFormatPr defaultRowHeight="14.5" x14ac:dyDescent="0.35"/>
  <cols>
    <col min="1" max="1" width="9.26953125" bestFit="1" customWidth="1"/>
    <col min="2" max="2" width="12.90625" bestFit="1" customWidth="1"/>
    <col min="3" max="3" width="13.26953125" bestFit="1" customWidth="1"/>
    <col min="4" max="5" width="13.90625" bestFit="1" customWidth="1"/>
    <col min="6" max="6" width="14.1796875" bestFit="1" customWidth="1"/>
    <col min="7" max="7" width="18.36328125" bestFit="1" customWidth="1"/>
    <col min="8" max="8" width="22" bestFit="1" customWidth="1"/>
    <col min="9" max="9" width="20.90625" bestFit="1" customWidth="1"/>
    <col min="10" max="10" width="20.7265625" bestFit="1" customWidth="1"/>
    <col min="11" max="11" width="13.54296875" bestFit="1" customWidth="1"/>
    <col min="12" max="12" width="8.7265625" customWidth="1"/>
  </cols>
  <sheetData>
    <row r="1" spans="1:11" x14ac:dyDescent="0.35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s="2" customFormat="1" ht="15.5" x14ac:dyDescent="0.35">
      <c r="A3" s="1" t="s">
        <v>21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spans="1:11" x14ac:dyDescent="0.35">
      <c r="A4" s="3">
        <v>34</v>
      </c>
      <c r="B4" s="3" t="s">
        <v>0</v>
      </c>
      <c r="C4" s="3">
        <v>56</v>
      </c>
      <c r="D4" s="3">
        <v>56</v>
      </c>
      <c r="E4" s="3">
        <v>59</v>
      </c>
      <c r="F4" s="3">
        <v>34</v>
      </c>
      <c r="G4" s="3">
        <f t="shared" ref="G4:G12" si="0">SUM(C4:F4)</f>
        <v>205</v>
      </c>
      <c r="H4" s="3">
        <f t="shared" ref="H4:H12" si="1">ROUND(AVERAGE(C4:F4),0)</f>
        <v>51</v>
      </c>
      <c r="I4" s="3">
        <f t="shared" ref="I4:I12" si="2">MIN(C4:F4)</f>
        <v>34</v>
      </c>
      <c r="J4" s="3">
        <f t="shared" ref="J4:J12" si="3">MAX(C4:F4)</f>
        <v>59</v>
      </c>
      <c r="K4" s="3" t="s">
        <v>19</v>
      </c>
    </row>
    <row r="5" spans="1:11" x14ac:dyDescent="0.35">
      <c r="A5" s="3">
        <v>54</v>
      </c>
      <c r="B5" s="3" t="s">
        <v>1</v>
      </c>
      <c r="C5" s="3">
        <v>55</v>
      </c>
      <c r="D5" s="3">
        <v>34</v>
      </c>
      <c r="E5" s="3">
        <v>44</v>
      </c>
      <c r="F5" s="3">
        <v>43</v>
      </c>
      <c r="G5" s="3">
        <f t="shared" si="0"/>
        <v>176</v>
      </c>
      <c r="H5" s="3">
        <f t="shared" si="1"/>
        <v>44</v>
      </c>
      <c r="I5" s="3">
        <f t="shared" si="2"/>
        <v>34</v>
      </c>
      <c r="J5" s="3">
        <f t="shared" si="3"/>
        <v>55</v>
      </c>
      <c r="K5" s="3" t="s">
        <v>20</v>
      </c>
    </row>
    <row r="6" spans="1:11" x14ac:dyDescent="0.35">
      <c r="A6" s="3">
        <v>33</v>
      </c>
      <c r="B6" s="3" t="s">
        <v>2</v>
      </c>
      <c r="C6" s="3">
        <v>67</v>
      </c>
      <c r="D6" s="3">
        <v>67</v>
      </c>
      <c r="E6" s="3">
        <v>33</v>
      </c>
      <c r="F6" s="3">
        <v>54</v>
      </c>
      <c r="G6" s="3">
        <f t="shared" si="0"/>
        <v>221</v>
      </c>
      <c r="H6" s="3">
        <f t="shared" si="1"/>
        <v>55</v>
      </c>
      <c r="I6" s="3">
        <f t="shared" si="2"/>
        <v>33</v>
      </c>
      <c r="J6" s="3">
        <f t="shared" si="3"/>
        <v>67</v>
      </c>
      <c r="K6" s="3" t="s">
        <v>19</v>
      </c>
    </row>
    <row r="7" spans="1:11" x14ac:dyDescent="0.35">
      <c r="A7" s="3">
        <v>65</v>
      </c>
      <c r="B7" s="3" t="s">
        <v>3</v>
      </c>
      <c r="C7" s="3">
        <v>88</v>
      </c>
      <c r="D7" s="3">
        <v>76</v>
      </c>
      <c r="E7" s="3">
        <v>61</v>
      </c>
      <c r="F7" s="3">
        <v>44</v>
      </c>
      <c r="G7" s="3">
        <f t="shared" si="0"/>
        <v>269</v>
      </c>
      <c r="H7" s="3">
        <f t="shared" si="1"/>
        <v>67</v>
      </c>
      <c r="I7" s="3">
        <f t="shared" si="2"/>
        <v>44</v>
      </c>
      <c r="J7" s="3">
        <f t="shared" si="3"/>
        <v>88</v>
      </c>
      <c r="K7" s="3" t="s">
        <v>19</v>
      </c>
    </row>
    <row r="8" spans="1:11" x14ac:dyDescent="0.35">
      <c r="A8" s="3">
        <v>78</v>
      </c>
      <c r="B8" s="3" t="s">
        <v>4</v>
      </c>
      <c r="C8" s="3">
        <v>77</v>
      </c>
      <c r="D8" s="3">
        <v>65</v>
      </c>
      <c r="E8" s="3">
        <v>21</v>
      </c>
      <c r="F8" s="3">
        <v>55</v>
      </c>
      <c r="G8" s="3">
        <f t="shared" si="0"/>
        <v>218</v>
      </c>
      <c r="H8" s="3">
        <f t="shared" si="1"/>
        <v>55</v>
      </c>
      <c r="I8" s="3">
        <f t="shared" si="2"/>
        <v>21</v>
      </c>
      <c r="J8" s="3">
        <f t="shared" si="3"/>
        <v>77</v>
      </c>
      <c r="K8" s="3" t="s">
        <v>19</v>
      </c>
    </row>
    <row r="9" spans="1:11" x14ac:dyDescent="0.35">
      <c r="A9" s="3">
        <v>76</v>
      </c>
      <c r="B9" s="3" t="s">
        <v>5</v>
      </c>
      <c r="C9" s="3">
        <v>66</v>
      </c>
      <c r="D9" s="3">
        <v>54</v>
      </c>
      <c r="E9" s="3">
        <v>32</v>
      </c>
      <c r="F9" s="3">
        <v>67</v>
      </c>
      <c r="G9" s="3">
        <f t="shared" si="0"/>
        <v>219</v>
      </c>
      <c r="H9" s="3">
        <f t="shared" si="1"/>
        <v>55</v>
      </c>
      <c r="I9" s="3">
        <f t="shared" si="2"/>
        <v>32</v>
      </c>
      <c r="J9" s="3">
        <f t="shared" si="3"/>
        <v>67</v>
      </c>
      <c r="K9" s="3" t="s">
        <v>19</v>
      </c>
    </row>
    <row r="10" spans="1:11" x14ac:dyDescent="0.35">
      <c r="A10" s="3">
        <v>44</v>
      </c>
      <c r="B10" s="3" t="s">
        <v>6</v>
      </c>
      <c r="C10" s="3">
        <v>55</v>
      </c>
      <c r="D10" s="3">
        <v>84</v>
      </c>
      <c r="E10" s="3">
        <v>76</v>
      </c>
      <c r="F10" s="3">
        <v>76</v>
      </c>
      <c r="G10" s="3">
        <f t="shared" si="0"/>
        <v>291</v>
      </c>
      <c r="H10" s="3">
        <f t="shared" si="1"/>
        <v>73</v>
      </c>
      <c r="I10" s="3">
        <f t="shared" si="2"/>
        <v>55</v>
      </c>
      <c r="J10" s="3">
        <f t="shared" si="3"/>
        <v>84</v>
      </c>
      <c r="K10" s="3" t="s">
        <v>19</v>
      </c>
    </row>
    <row r="11" spans="1:11" x14ac:dyDescent="0.35">
      <c r="A11" s="3">
        <v>45</v>
      </c>
      <c r="B11" s="3" t="s">
        <v>7</v>
      </c>
      <c r="C11" s="3">
        <v>66</v>
      </c>
      <c r="D11" s="3">
        <v>72</v>
      </c>
      <c r="E11" s="3">
        <v>65</v>
      </c>
      <c r="F11" s="3">
        <v>87</v>
      </c>
      <c r="G11" s="3">
        <f t="shared" si="0"/>
        <v>290</v>
      </c>
      <c r="H11" s="3">
        <f t="shared" si="1"/>
        <v>73</v>
      </c>
      <c r="I11" s="3">
        <f t="shared" si="2"/>
        <v>65</v>
      </c>
      <c r="J11" s="3">
        <f t="shared" si="3"/>
        <v>87</v>
      </c>
      <c r="K11" s="3" t="s">
        <v>19</v>
      </c>
    </row>
    <row r="12" spans="1:11" x14ac:dyDescent="0.35">
      <c r="A12" s="3">
        <v>77</v>
      </c>
      <c r="B12" s="3" t="s">
        <v>8</v>
      </c>
      <c r="C12" s="3">
        <v>46</v>
      </c>
      <c r="D12" s="3">
        <v>33</v>
      </c>
      <c r="E12" s="3">
        <v>45</v>
      </c>
      <c r="F12" s="3">
        <v>44</v>
      </c>
      <c r="G12" s="3">
        <f t="shared" si="0"/>
        <v>168</v>
      </c>
      <c r="H12" s="3">
        <f t="shared" si="1"/>
        <v>42</v>
      </c>
      <c r="I12" s="3">
        <f t="shared" si="2"/>
        <v>33</v>
      </c>
      <c r="J12" s="3">
        <f t="shared" si="3"/>
        <v>46</v>
      </c>
      <c r="K12" s="3" t="s">
        <v>20</v>
      </c>
    </row>
  </sheetData>
  <mergeCells count="1">
    <mergeCell ref="A1:K2"/>
  </mergeCells>
  <phoneticPr fontId="1" type="noConversion"/>
  <conditionalFormatting sqref="K4:K12">
    <cfRule type="containsText" dxfId="2" priority="1" operator="containsText" text="pass">
      <formula>NOT(ISERROR(SEARCH("pass",K4)))</formula>
    </cfRule>
    <cfRule type="containsText" dxfId="1" priority="2" operator="containsText" text="fail">
      <formula>NOT(ISERROR(SEARCH("fail",K4)))</formula>
    </cfRule>
    <cfRule type="containsText" dxfId="0" priority="3" operator="containsText" text="pass green color">
      <formula>NOT(ISERROR(SEARCH("pass green color",K4)))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abbasi</dc:creator>
  <cp:lastModifiedBy>anas abbasi</cp:lastModifiedBy>
  <dcterms:created xsi:type="dcterms:W3CDTF">2026-04-25T04:46:49Z</dcterms:created>
  <dcterms:modified xsi:type="dcterms:W3CDTF">2026-04-25T06:14:57Z</dcterms:modified>
</cp:coreProperties>
</file>